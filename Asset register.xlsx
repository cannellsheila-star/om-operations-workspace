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ilaCannell\Desktop\"/>
    </mc:Choice>
  </mc:AlternateContent>
  <xr:revisionPtr revIDLastSave="0" documentId="8_{801F6187-8F7F-44D0-AEBF-88D92BA3BD18}" xr6:coauthVersionLast="47" xr6:coauthVersionMax="47" xr10:uidLastSave="{00000000-0000-0000-0000-000000000000}"/>
  <bookViews>
    <workbookView xWindow="-108" yWindow="-108" windowWidth="23256" windowHeight="12456" xr2:uid="{2BEF835F-62A8-4C6A-B603-567AC2A37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/>
  <c r="D24" i="1"/>
  <c r="C24" i="1"/>
  <c r="N22" i="1"/>
  <c r="N21" i="1"/>
  <c r="D21" i="1"/>
  <c r="C21" i="1"/>
  <c r="N20" i="1"/>
  <c r="I20" i="1"/>
  <c r="N19" i="1"/>
  <c r="N18" i="1"/>
  <c r="N17" i="1"/>
  <c r="N16" i="1"/>
  <c r="N15" i="1"/>
  <c r="N13" i="1"/>
  <c r="N12" i="1"/>
  <c r="N11" i="1"/>
  <c r="N10" i="1"/>
  <c r="N7" i="1"/>
  <c r="N6" i="1"/>
  <c r="N5" i="1"/>
  <c r="N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tc={915F00B9-B1B1-4EB7-A6A6-E855D12E051C}</author>
    <author>tc={5B06E2C6-0B03-4ED5-BD6C-B98A1E95EC7E}</author>
    <author>tc={FD95FEDD-3ECE-4CB5-BF35-60838EF8C9BE}</author>
  </authors>
  <commentList>
    <comment ref="C15" authorId="0" shapeId="0" xr:uid="{915F00B9-B1B1-4EB7-A6A6-E855D12E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lower than the contract value of 5.145MWp</t>
      </text>
    </comment>
    <comment ref="C19" authorId="1" shapeId="0" xr:uid="{5B06E2C6-0B03-4ED5-BD6C-B98A1E95E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as per contract 
</t>
      </text>
    </comment>
    <comment ref="C21" authorId="2" shapeId="0" xr:uid="{FD95FEDD-3ECE-4CB5-BF35-60838EF8C9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totals differ from contract 
</t>
      </text>
    </comment>
  </commentList>
</comments>
</file>

<file path=xl/sharedStrings.xml><?xml version="1.0" encoding="utf-8"?>
<sst xmlns="http://schemas.openxmlformats.org/spreadsheetml/2006/main" count="170" uniqueCount="72">
  <si>
    <t>Project</t>
  </si>
  <si>
    <t>COD</t>
  </si>
  <si>
    <t>kWp PV</t>
  </si>
  <si>
    <t>kWh BESS</t>
  </si>
  <si>
    <t>Platform</t>
  </si>
  <si>
    <t>EPC for O&amp;M:</t>
  </si>
  <si>
    <t>Number of Systems:</t>
  </si>
  <si>
    <t>PPA/EaaS</t>
  </si>
  <si>
    <t>Current Rate:</t>
  </si>
  <si>
    <t>Annual Increase:</t>
  </si>
  <si>
    <t>Next Increase Date:</t>
  </si>
  <si>
    <t>Tenor:</t>
  </si>
  <si>
    <t>Last O&amp;M:</t>
  </si>
  <si>
    <t>Next O&amp;M:</t>
  </si>
  <si>
    <t>Contact Name:</t>
  </si>
  <si>
    <t>Contact Email:</t>
  </si>
  <si>
    <t>Additional Notes:</t>
  </si>
  <si>
    <t>Naboom Plastiek</t>
  </si>
  <si>
    <t>Augos</t>
  </si>
  <si>
    <t>Sustain EPC</t>
  </si>
  <si>
    <t>PPA</t>
  </si>
  <si>
    <t>CPI + 1.5%</t>
  </si>
  <si>
    <t>-</t>
  </si>
  <si>
    <t>Maritz</t>
  </si>
  <si>
    <t>maritz@naboomplastic.co.za</t>
  </si>
  <si>
    <t>EaaS</t>
  </si>
  <si>
    <t>Smuts Agri KBL</t>
  </si>
  <si>
    <t>Jaco du Plessis</t>
  </si>
  <si>
    <t>finance@smutsbros.co.za</t>
  </si>
  <si>
    <t>Smuts Agri Olyvendal</t>
  </si>
  <si>
    <t>Namakwari Lodge</t>
  </si>
  <si>
    <t>Sunsynk/Augos</t>
  </si>
  <si>
    <t>MiConsult</t>
  </si>
  <si>
    <t>CPI + 3.5%</t>
  </si>
  <si>
    <t>Zelna Van Den Heever</t>
  </si>
  <si>
    <t>zelna@namakwari.co.za</t>
  </si>
  <si>
    <t>Penflex</t>
  </si>
  <si>
    <t>FusionSolar/Augos</t>
  </si>
  <si>
    <t>Blue EPcM</t>
  </si>
  <si>
    <t>Sean Stuttaford</t>
  </si>
  <si>
    <t>sean@penflex.co.za</t>
  </si>
  <si>
    <t>Alley Roads Meyerton Mall</t>
  </si>
  <si>
    <t>ivan@alleyroads.co.za
busisiwe@alleyroads.co.za
craig@alleyroads.co.za</t>
  </si>
  <si>
    <t>AR Residential</t>
  </si>
  <si>
    <t>Borbet SA</t>
  </si>
  <si>
    <t>Lauren &amp; Derrick</t>
  </si>
  <si>
    <t>la@borbetsa.net and dvk@borbetsa.net</t>
  </si>
  <si>
    <t>Borbetsa_Creditors@borbetsa.net</t>
  </si>
  <si>
    <t>Vientiane</t>
  </si>
  <si>
    <t>saliaoning@hotmail.com and 1813707047@qq.com</t>
  </si>
  <si>
    <t>Olijvenkraal Olive &amp; Wine Farm</t>
  </si>
  <si>
    <t>Sigen/Augos</t>
  </si>
  <si>
    <t>Bruce &amp; Debbie</t>
  </si>
  <si>
    <t>bruce@cityventurecapital.com and debbiep@citylogistics.co.za.</t>
  </si>
  <si>
    <t>Sleepover - Lanseria</t>
  </si>
  <si>
    <t>Deye Cloud/Augos</t>
  </si>
  <si>
    <t>Coalition Africa</t>
  </si>
  <si>
    <t>Sheldon Clements</t>
  </si>
  <si>
    <t>sheldon.clements@sleepover.travel and theunis.bothma@sleepover.travel</t>
  </si>
  <si>
    <t>Sleepover - 3 Gates</t>
  </si>
  <si>
    <t>Gosforth Park - City &amp; Mr. P</t>
  </si>
  <si>
    <t>Sigen</t>
  </si>
  <si>
    <t xml:space="preserve">PPA </t>
  </si>
  <si>
    <t>Marzena Straub</t>
  </si>
  <si>
    <t>marzenas@cipf.co.za</t>
  </si>
  <si>
    <t>Gosforth Park - Gigabrain</t>
  </si>
  <si>
    <t>Noah Kirby</t>
  </si>
  <si>
    <t>noah@gigabrain.africa and david</t>
  </si>
  <si>
    <t>Leeuwenkuil</t>
  </si>
  <si>
    <t>TBC</t>
  </si>
  <si>
    <t>Not operational just yet. Under construction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</si>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</sst>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C09]dd\ mmmm\ yyyy;@"/>
    <numFmt numFmtId="166" formatCode="_(* #,##0_);_(* \(#,##0\);_(* &quot;-&quot;??_);_(@_)"/>
    <numFmt numFmtId="167" formatCode="_-[$R-1C09]* #,##0.00_-;\-[$R-1C09]* #,##0.00_-;_-[$R-1C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FEBF2"/>
        <bgColor indexed="64"/>
      </patternFill>
    </fill>
  </fills>
  <borders count="2">
    <border>
      <left/>
      <right/>
      <top/>
      <bottom/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wrapText="1"/>
    </xf>
    <xf numFmtId="0" fontId="4" fillId="0" borderId="1" xfId="0" applyFont="1" applyBorder="1"/>
    <xf numFmtId="164" fontId="5" fillId="0" borderId="1" xfId="0" applyNumberFormat="1" applyFont="1" applyBorder="1"/>
    <xf numFmtId="166" fontId="0" fillId="0" borderId="1" xfId="1" applyNumberFormat="1" applyFont="1" applyBorder="1"/>
    <xf numFmtId="0" fontId="0" fillId="0" borderId="1" xfId="0" applyBorder="1"/>
    <xf numFmtId="0" fontId="0" fillId="0" borderId="1" xfId="0" applyBorder="1" applyAlignment="1">
      <alignment wrapText="1"/>
    </xf>
    <xf numFmtId="167" fontId="0" fillId="0" borderId="1" xfId="0" applyNumberFormat="1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17" fontId="0" fillId="0" borderId="1" xfId="0" applyNumberFormat="1" applyBorder="1" applyAlignment="1">
      <alignment horizontal="center"/>
    </xf>
    <xf numFmtId="0" fontId="2" fillId="0" borderId="1" xfId="2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166" fontId="0" fillId="3" borderId="1" xfId="1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167" fontId="0" fillId="3" borderId="1" xfId="0" applyNumberFormat="1" applyFill="1" applyBorder="1" applyAlignment="1">
      <alignment wrapText="1"/>
    </xf>
    <xf numFmtId="14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17" fontId="0" fillId="3" borderId="1" xfId="0" applyNumberFormat="1" applyFill="1" applyBorder="1" applyAlignment="1">
      <alignment horizontal="center"/>
    </xf>
    <xf numFmtId="0" fontId="2" fillId="3" borderId="1" xfId="2" applyFill="1" applyBorder="1"/>
    <xf numFmtId="0" fontId="6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right" wrapText="1"/>
    </xf>
    <xf numFmtId="0" fontId="6" fillId="3" borderId="1" xfId="0" applyFont="1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2" fillId="3" borderId="1" xfId="2" applyFill="1" applyBorder="1" applyAlignment="1">
      <alignment wrapText="1"/>
    </xf>
    <xf numFmtId="167" fontId="0" fillId="3" borderId="1" xfId="0" applyNumberFormat="1" applyFill="1" applyBorder="1"/>
    <xf numFmtId="167" fontId="0" fillId="0" borderId="1" xfId="0" applyNumberFormat="1" applyBorder="1"/>
    <xf numFmtId="167" fontId="0" fillId="3" borderId="1" xfId="0" applyNumberFormat="1" applyFill="1" applyBorder="1" applyAlignment="1">
      <alignment horizontal="left" wrapText="1"/>
    </xf>
    <xf numFmtId="0" fontId="2" fillId="3" borderId="1" xfId="2" applyFill="1" applyBorder="1" applyAlignment="1"/>
    <xf numFmtId="166" fontId="0" fillId="0" borderId="1" xfId="1" applyNumberFormat="1" applyFont="1" applyFill="1" applyBorder="1"/>
    <xf numFmtId="167" fontId="0" fillId="0" borderId="1" xfId="0" applyNumberFormat="1" applyBorder="1" applyAlignment="1">
      <alignment horizontal="left" wrapText="1"/>
    </xf>
    <xf numFmtId="0" fontId="2" fillId="0" borderId="1" xfId="2" applyBorder="1" applyAlignment="1"/>
    <xf numFmtId="0" fontId="7" fillId="3" borderId="1" xfId="0" applyFont="1" applyFill="1" applyBorder="1"/>
    <xf numFmtId="164" fontId="7" fillId="3" borderId="1" xfId="0" applyNumberFormat="1" applyFont="1" applyFill="1" applyBorder="1" applyAlignment="1">
      <alignment horizontal="right"/>
    </xf>
    <xf numFmtId="166" fontId="7" fillId="3" borderId="1" xfId="1" applyNumberFormat="1" applyFont="1" applyFill="1" applyBorder="1"/>
    <xf numFmtId="0" fontId="8" fillId="0" borderId="1" xfId="0" applyFont="1" applyBorder="1"/>
    <xf numFmtId="166" fontId="8" fillId="0" borderId="1" xfId="1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e Loubser" id="{B5CC9F0D-9AB3-40A5-9ABC-116F5387F4BA}" userId="S::christine@blueenergy.africa::12351594-be23-4aea-a7ed-6cdc5f3f9d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6-08-06T09:16:56.66" personId="{B5CC9F0D-9AB3-40A5-9ABC-116F5387F4BA}" id="{915F00B9-B1B1-4EB7-A6A6-E855D12E051C}">
    <text>This is lower than the contract value of 5.145MWp</text>
  </threadedComment>
  <threadedComment ref="C19" dT="2026-08-06T09:56:53.91" personId="{B5CC9F0D-9AB3-40A5-9ABC-116F5387F4BA}" id="{5B06E2C6-0B03-4ED5-BD6C-B98A1E95EC7E}">
    <text xml:space="preserve">no as per contract 
</text>
  </threadedComment>
  <threadedComment ref="C21" dT="2026-08-06T09:51:49.60" personId="{B5CC9F0D-9AB3-40A5-9ABC-116F5387F4BA}" id="{FD95FEDD-3ECE-4CB5-BF35-60838EF8C9BE}">
    <text xml:space="preserve">totals differ from contract 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tz@naboomplastic.co.za" TargetMode="External"/><Relationship Id="rId13" Type="http://schemas.openxmlformats.org/officeDocument/2006/relationships/hyperlink" Target="mailto:la@borbetsa.net" TargetMode="External"/><Relationship Id="rId18" Type="http://schemas.openxmlformats.org/officeDocument/2006/relationships/hyperlink" Target="mailto:Borbetsa_Creditors@borbetsa.net" TargetMode="External"/><Relationship Id="rId3" Type="http://schemas.openxmlformats.org/officeDocument/2006/relationships/hyperlink" Target="mailto:maritz@naboomplastic.co.za" TargetMode="External"/><Relationship Id="rId21" Type="http://schemas.microsoft.com/office/2017/10/relationships/threadedComment" Target="../threadedComments/threadedComment1.xml"/><Relationship Id="rId7" Type="http://schemas.openxmlformats.org/officeDocument/2006/relationships/hyperlink" Target="mailto:la@borbetsa.net" TargetMode="External"/><Relationship Id="rId12" Type="http://schemas.openxmlformats.org/officeDocument/2006/relationships/hyperlink" Target="mailto:sean@penflex.co.za" TargetMode="External"/><Relationship Id="rId17" Type="http://schemas.openxmlformats.org/officeDocument/2006/relationships/hyperlink" Target="mailto:marzenas@cipf.co.za" TargetMode="External"/><Relationship Id="rId2" Type="http://schemas.openxmlformats.org/officeDocument/2006/relationships/hyperlink" Target="mailto:saliaoning@hotmail.com%20and%201813707047@qq.com" TargetMode="External"/><Relationship Id="rId16" Type="http://schemas.openxmlformats.org/officeDocument/2006/relationships/hyperlink" Target="mailto:bruce@cityventurecapital.com,%20debbiep@citylogistics.co.za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zelna@namakwari.co.za" TargetMode="External"/><Relationship Id="rId6" Type="http://schemas.openxmlformats.org/officeDocument/2006/relationships/hyperlink" Target="mailto:sean@penflex.co.za" TargetMode="External"/><Relationship Id="rId11" Type="http://schemas.openxmlformats.org/officeDocument/2006/relationships/hyperlink" Target="mailto:zelna@namakwari.co.za" TargetMode="External"/><Relationship Id="rId5" Type="http://schemas.openxmlformats.org/officeDocument/2006/relationships/hyperlink" Target="mailto:finance@smutsbros.co.za" TargetMode="External"/><Relationship Id="rId15" Type="http://schemas.openxmlformats.org/officeDocument/2006/relationships/hyperlink" Target="mailto:theunis.bothma@sleepover.travel" TargetMode="External"/><Relationship Id="rId10" Type="http://schemas.openxmlformats.org/officeDocument/2006/relationships/hyperlink" Target="mailto:finance@smutsbros.co.za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finance@smutsbros.co.za" TargetMode="External"/><Relationship Id="rId9" Type="http://schemas.openxmlformats.org/officeDocument/2006/relationships/hyperlink" Target="mailto:finance@smutsbros.co.za" TargetMode="External"/><Relationship Id="rId14" Type="http://schemas.openxmlformats.org/officeDocument/2006/relationships/hyperlink" Target="mailto:noah@gigabrain.africa%20and%20da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489B-9BC4-4CD0-BD9F-F670B1158873}">
  <dimension ref="A1:Q24"/>
  <sheetViews>
    <sheetView tabSelected="1" workbookViewId="0">
      <selection activeCell="R1" sqref="R1:R1048576"/>
    </sheetView>
  </sheetViews>
  <sheetFormatPr defaultRowHeight="14.4" x14ac:dyDescent="0.3"/>
  <sheetData>
    <row r="1" spans="1:17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s="2" t="s">
        <v>17</v>
      </c>
      <c r="B2" s="3">
        <v>45473</v>
      </c>
      <c r="C2" s="4">
        <v>434.5</v>
      </c>
      <c r="D2" s="4"/>
      <c r="E2" s="5" t="s">
        <v>18</v>
      </c>
      <c r="F2" s="5" t="s">
        <v>19</v>
      </c>
      <c r="G2" s="5">
        <v>1</v>
      </c>
      <c r="H2" s="6" t="s">
        <v>20</v>
      </c>
      <c r="I2" s="7">
        <v>2.0499999999999998</v>
      </c>
      <c r="J2" s="5" t="s">
        <v>21</v>
      </c>
      <c r="K2" s="8">
        <v>46569</v>
      </c>
      <c r="L2" s="9">
        <v>10</v>
      </c>
      <c r="M2" s="10">
        <v>45689</v>
      </c>
      <c r="N2" s="10" t="s">
        <v>22</v>
      </c>
      <c r="O2" s="5" t="s">
        <v>23</v>
      </c>
      <c r="P2" s="11" t="s">
        <v>24</v>
      </c>
      <c r="Q2" s="5"/>
    </row>
    <row r="3" spans="1:17" ht="15.6" x14ac:dyDescent="0.3">
      <c r="A3" s="12" t="s">
        <v>17</v>
      </c>
      <c r="B3" s="13">
        <v>45473</v>
      </c>
      <c r="C3" s="14"/>
      <c r="D3" s="14">
        <v>858</v>
      </c>
      <c r="E3" s="15" t="s">
        <v>18</v>
      </c>
      <c r="F3" s="15" t="s">
        <v>19</v>
      </c>
      <c r="G3" s="15">
        <v>1</v>
      </c>
      <c r="H3" s="16" t="s">
        <v>25</v>
      </c>
      <c r="I3" s="17">
        <v>149767.38</v>
      </c>
      <c r="J3" s="15" t="s">
        <v>21</v>
      </c>
      <c r="K3" s="18">
        <v>46569</v>
      </c>
      <c r="L3" s="19">
        <v>10</v>
      </c>
      <c r="M3" s="20">
        <v>45689</v>
      </c>
      <c r="N3" s="20" t="s">
        <v>22</v>
      </c>
      <c r="O3" s="15" t="s">
        <v>23</v>
      </c>
      <c r="P3" s="21" t="s">
        <v>24</v>
      </c>
      <c r="Q3" s="15"/>
    </row>
    <row r="4" spans="1:17" ht="15.6" x14ac:dyDescent="0.3">
      <c r="A4" s="22" t="s">
        <v>26</v>
      </c>
      <c r="B4" s="23">
        <v>45536</v>
      </c>
      <c r="C4" s="4">
        <v>217</v>
      </c>
      <c r="D4" s="4"/>
      <c r="E4" s="5" t="s">
        <v>18</v>
      </c>
      <c r="F4" s="5" t="s">
        <v>19</v>
      </c>
      <c r="G4" s="5">
        <v>2</v>
      </c>
      <c r="H4" s="6" t="s">
        <v>20</v>
      </c>
      <c r="I4" s="7">
        <v>1.38</v>
      </c>
      <c r="J4" s="5" t="s">
        <v>21</v>
      </c>
      <c r="K4" s="8">
        <v>46296</v>
      </c>
      <c r="L4" s="24">
        <v>20</v>
      </c>
      <c r="M4" s="10">
        <v>46260</v>
      </c>
      <c r="N4" s="10">
        <f>M4+182</f>
        <v>46442</v>
      </c>
      <c r="O4" s="5" t="s">
        <v>27</v>
      </c>
      <c r="P4" s="11" t="s">
        <v>28</v>
      </c>
      <c r="Q4" s="5"/>
    </row>
    <row r="5" spans="1:17" ht="15.6" x14ac:dyDescent="0.3">
      <c r="A5" s="25" t="s">
        <v>26</v>
      </c>
      <c r="B5" s="26">
        <v>45536</v>
      </c>
      <c r="C5" s="14"/>
      <c r="D5" s="14">
        <v>230</v>
      </c>
      <c r="E5" s="15" t="s">
        <v>18</v>
      </c>
      <c r="F5" s="15" t="s">
        <v>19</v>
      </c>
      <c r="G5" s="15">
        <v>2</v>
      </c>
      <c r="H5" s="16" t="s">
        <v>25</v>
      </c>
      <c r="I5" s="17">
        <v>179415.54</v>
      </c>
      <c r="J5" s="15" t="s">
        <v>21</v>
      </c>
      <c r="K5" s="18">
        <v>46296</v>
      </c>
      <c r="L5" s="27">
        <v>10</v>
      </c>
      <c r="M5" s="20">
        <v>46260</v>
      </c>
      <c r="N5" s="20">
        <f>M5+182</f>
        <v>46442</v>
      </c>
      <c r="O5" s="15" t="s">
        <v>27</v>
      </c>
      <c r="P5" s="21" t="s">
        <v>28</v>
      </c>
      <c r="Q5" s="15"/>
    </row>
    <row r="6" spans="1:17" ht="15.6" x14ac:dyDescent="0.3">
      <c r="A6" s="22" t="s">
        <v>29</v>
      </c>
      <c r="B6" s="23">
        <v>45536</v>
      </c>
      <c r="C6" s="4">
        <v>61</v>
      </c>
      <c r="D6" s="4"/>
      <c r="E6" s="5" t="s">
        <v>18</v>
      </c>
      <c r="F6" s="5" t="s">
        <v>19</v>
      </c>
      <c r="G6" s="5">
        <v>1</v>
      </c>
      <c r="H6" s="6" t="s">
        <v>20</v>
      </c>
      <c r="I6" s="7">
        <v>1.44</v>
      </c>
      <c r="J6" s="5" t="s">
        <v>21</v>
      </c>
      <c r="K6" s="8">
        <v>46296</v>
      </c>
      <c r="L6" s="24">
        <v>20</v>
      </c>
      <c r="M6" s="10">
        <v>46260</v>
      </c>
      <c r="N6" s="10">
        <f>M6+182</f>
        <v>46442</v>
      </c>
      <c r="O6" s="5" t="s">
        <v>27</v>
      </c>
      <c r="P6" s="11" t="s">
        <v>28</v>
      </c>
      <c r="Q6" s="5"/>
    </row>
    <row r="7" spans="1:17" ht="15.6" x14ac:dyDescent="0.3">
      <c r="A7" s="25" t="s">
        <v>29</v>
      </c>
      <c r="B7" s="26">
        <v>45536</v>
      </c>
      <c r="C7" s="14"/>
      <c r="D7" s="14">
        <v>60</v>
      </c>
      <c r="E7" s="15" t="s">
        <v>18</v>
      </c>
      <c r="F7" s="15" t="s">
        <v>19</v>
      </c>
      <c r="G7" s="15">
        <v>1</v>
      </c>
      <c r="H7" s="16" t="s">
        <v>25</v>
      </c>
      <c r="I7" s="17">
        <v>10951.5</v>
      </c>
      <c r="J7" s="15" t="s">
        <v>21</v>
      </c>
      <c r="K7" s="18">
        <v>46296</v>
      </c>
      <c r="L7" s="27">
        <v>10</v>
      </c>
      <c r="M7" s="20">
        <v>46260</v>
      </c>
      <c r="N7" s="20">
        <f>M7+182</f>
        <v>46442</v>
      </c>
      <c r="O7" s="15" t="s">
        <v>27</v>
      </c>
      <c r="P7" s="21" t="s">
        <v>28</v>
      </c>
      <c r="Q7" s="15"/>
    </row>
    <row r="8" spans="1:17" ht="15.6" x14ac:dyDescent="0.3">
      <c r="A8" s="22" t="s">
        <v>30</v>
      </c>
      <c r="B8" s="23">
        <v>45716</v>
      </c>
      <c r="C8" s="4">
        <v>232</v>
      </c>
      <c r="D8" s="4"/>
      <c r="E8" s="5" t="s">
        <v>31</v>
      </c>
      <c r="F8" s="5" t="s">
        <v>32</v>
      </c>
      <c r="G8" s="5">
        <v>1</v>
      </c>
      <c r="H8" s="6" t="s">
        <v>20</v>
      </c>
      <c r="I8" s="7">
        <v>1.5</v>
      </c>
      <c r="J8" s="5" t="s">
        <v>33</v>
      </c>
      <c r="K8" s="8">
        <v>46447</v>
      </c>
      <c r="L8" s="9">
        <v>20</v>
      </c>
      <c r="M8" s="10">
        <v>46229</v>
      </c>
      <c r="N8" s="10">
        <v>46413</v>
      </c>
      <c r="O8" s="5" t="s">
        <v>34</v>
      </c>
      <c r="P8" s="11" t="s">
        <v>35</v>
      </c>
      <c r="Q8" s="5"/>
    </row>
    <row r="9" spans="1:17" ht="15.6" x14ac:dyDescent="0.3">
      <c r="A9" s="25" t="s">
        <v>30</v>
      </c>
      <c r="B9" s="26">
        <v>45716</v>
      </c>
      <c r="C9" s="14"/>
      <c r="D9" s="14">
        <v>450</v>
      </c>
      <c r="E9" s="15" t="s">
        <v>31</v>
      </c>
      <c r="F9" s="15" t="s">
        <v>32</v>
      </c>
      <c r="G9" s="15">
        <v>1</v>
      </c>
      <c r="H9" s="16" t="s">
        <v>25</v>
      </c>
      <c r="I9" s="17">
        <v>68000</v>
      </c>
      <c r="J9" s="15" t="s">
        <v>33</v>
      </c>
      <c r="K9" s="18">
        <v>46447</v>
      </c>
      <c r="L9" s="19">
        <v>20</v>
      </c>
      <c r="M9" s="20">
        <v>46204</v>
      </c>
      <c r="N9" s="20">
        <v>46388</v>
      </c>
      <c r="O9" s="15" t="s">
        <v>34</v>
      </c>
      <c r="P9" s="21" t="s">
        <v>35</v>
      </c>
      <c r="Q9" s="15"/>
    </row>
    <row r="10" spans="1:17" ht="15.6" x14ac:dyDescent="0.3">
      <c r="A10" s="22" t="s">
        <v>36</v>
      </c>
      <c r="B10" s="23">
        <v>45716</v>
      </c>
      <c r="C10" s="4">
        <v>1300</v>
      </c>
      <c r="D10" s="4"/>
      <c r="E10" s="5" t="s">
        <v>37</v>
      </c>
      <c r="F10" s="5" t="s">
        <v>38</v>
      </c>
      <c r="G10" s="5">
        <v>1</v>
      </c>
      <c r="H10" s="6" t="s">
        <v>20</v>
      </c>
      <c r="I10" s="7">
        <v>1.28</v>
      </c>
      <c r="J10" s="5" t="s">
        <v>21</v>
      </c>
      <c r="K10" s="8">
        <v>46447</v>
      </c>
      <c r="L10" s="24">
        <v>20</v>
      </c>
      <c r="M10" s="10">
        <v>46266</v>
      </c>
      <c r="N10" s="10">
        <f>M10+182</f>
        <v>46448</v>
      </c>
      <c r="O10" s="5" t="s">
        <v>39</v>
      </c>
      <c r="P10" s="11" t="s">
        <v>40</v>
      </c>
      <c r="Q10" s="5"/>
    </row>
    <row r="11" spans="1:17" ht="15.6" x14ac:dyDescent="0.3">
      <c r="A11" s="25" t="s">
        <v>36</v>
      </c>
      <c r="B11" s="26">
        <v>45716</v>
      </c>
      <c r="C11" s="14"/>
      <c r="D11" s="14">
        <v>2000</v>
      </c>
      <c r="E11" s="15" t="s">
        <v>37</v>
      </c>
      <c r="F11" s="15" t="s">
        <v>38</v>
      </c>
      <c r="G11" s="15">
        <v>1</v>
      </c>
      <c r="H11" s="16" t="s">
        <v>25</v>
      </c>
      <c r="I11" s="17">
        <v>300861.44</v>
      </c>
      <c r="J11" s="15" t="s">
        <v>21</v>
      </c>
      <c r="K11" s="18">
        <v>46569</v>
      </c>
      <c r="L11" s="27">
        <v>10</v>
      </c>
      <c r="M11" s="20">
        <v>46266</v>
      </c>
      <c r="N11" s="20">
        <f>M11+182</f>
        <v>46448</v>
      </c>
      <c r="O11" s="15" t="s">
        <v>39</v>
      </c>
      <c r="P11" s="21" t="s">
        <v>40</v>
      </c>
      <c r="Q11" s="15"/>
    </row>
    <row r="12" spans="1:17" ht="15.6" x14ac:dyDescent="0.3">
      <c r="A12" s="22" t="s">
        <v>41</v>
      </c>
      <c r="B12" s="23">
        <v>45716</v>
      </c>
      <c r="C12" s="4">
        <v>2230</v>
      </c>
      <c r="D12" s="4"/>
      <c r="E12" s="5" t="s">
        <v>37</v>
      </c>
      <c r="F12" s="5" t="s">
        <v>38</v>
      </c>
      <c r="G12" s="5">
        <v>1</v>
      </c>
      <c r="H12" s="6" t="s">
        <v>20</v>
      </c>
      <c r="I12" s="7">
        <v>1.1499999999999999</v>
      </c>
      <c r="J12" s="5" t="s">
        <v>21</v>
      </c>
      <c r="K12" s="8">
        <v>46447</v>
      </c>
      <c r="L12" s="24">
        <v>20</v>
      </c>
      <c r="M12" s="10">
        <v>46266</v>
      </c>
      <c r="N12" s="10">
        <f>M12+182</f>
        <v>46448</v>
      </c>
      <c r="O12" s="5"/>
      <c r="P12" s="11" t="s">
        <v>42</v>
      </c>
      <c r="Q12" s="5"/>
    </row>
    <row r="13" spans="1:17" ht="15.6" x14ac:dyDescent="0.3">
      <c r="A13" s="25" t="s">
        <v>41</v>
      </c>
      <c r="B13" s="26">
        <v>45716</v>
      </c>
      <c r="C13" s="14"/>
      <c r="D13" s="14">
        <v>4000</v>
      </c>
      <c r="E13" s="15" t="s">
        <v>37</v>
      </c>
      <c r="F13" s="15" t="s">
        <v>38</v>
      </c>
      <c r="G13" s="15">
        <v>1</v>
      </c>
      <c r="H13" s="16" t="s">
        <v>25</v>
      </c>
      <c r="I13" s="17">
        <v>1144800</v>
      </c>
      <c r="J13" s="15" t="s">
        <v>21</v>
      </c>
      <c r="K13" s="18">
        <v>46539</v>
      </c>
      <c r="L13" s="27">
        <v>15</v>
      </c>
      <c r="M13" s="20">
        <v>46266</v>
      </c>
      <c r="N13" s="20">
        <f>M13+182</f>
        <v>46448</v>
      </c>
      <c r="O13" s="15"/>
      <c r="P13" s="21" t="s">
        <v>42</v>
      </c>
      <c r="Q13" s="15"/>
    </row>
    <row r="14" spans="1:17" ht="15.6" x14ac:dyDescent="0.3">
      <c r="A14" s="22" t="s">
        <v>43</v>
      </c>
      <c r="B14" s="23">
        <v>45869</v>
      </c>
      <c r="C14" s="4"/>
      <c r="D14" s="4"/>
      <c r="E14" s="5"/>
      <c r="F14" s="5" t="s">
        <v>19</v>
      </c>
      <c r="G14" s="5">
        <v>17</v>
      </c>
      <c r="H14" s="6" t="s">
        <v>25</v>
      </c>
      <c r="I14" s="7">
        <v>333229</v>
      </c>
      <c r="J14" s="5" t="s">
        <v>21</v>
      </c>
      <c r="K14" s="8">
        <v>46235</v>
      </c>
      <c r="L14" s="9">
        <v>15</v>
      </c>
      <c r="M14" s="28" t="s">
        <v>22</v>
      </c>
      <c r="N14" s="28" t="s">
        <v>22</v>
      </c>
      <c r="O14" s="5"/>
      <c r="P14" s="11"/>
      <c r="Q14" s="5"/>
    </row>
    <row r="15" spans="1:17" ht="57.6" x14ac:dyDescent="0.3">
      <c r="A15" s="25" t="s">
        <v>44</v>
      </c>
      <c r="B15" s="26">
        <v>45916</v>
      </c>
      <c r="C15" s="14">
        <v>2090</v>
      </c>
      <c r="D15" s="14"/>
      <c r="E15" s="15" t="s">
        <v>37</v>
      </c>
      <c r="F15" s="15" t="s">
        <v>38</v>
      </c>
      <c r="G15" s="15">
        <v>1</v>
      </c>
      <c r="H15" s="16" t="s">
        <v>20</v>
      </c>
      <c r="I15" s="17">
        <v>1.1000000000000001</v>
      </c>
      <c r="J15" s="15" t="s">
        <v>21</v>
      </c>
      <c r="K15" s="18">
        <v>46266</v>
      </c>
      <c r="L15" s="27">
        <v>20</v>
      </c>
      <c r="M15" s="20">
        <v>46266</v>
      </c>
      <c r="N15" s="20">
        <f t="shared" ref="N15:N22" si="0">M15+182</f>
        <v>46448</v>
      </c>
      <c r="O15" s="15" t="s">
        <v>45</v>
      </c>
      <c r="P15" s="21" t="s">
        <v>46</v>
      </c>
      <c r="Q15" s="29" t="s">
        <v>47</v>
      </c>
    </row>
    <row r="16" spans="1:17" ht="15.6" x14ac:dyDescent="0.3">
      <c r="A16" s="22" t="s">
        <v>44</v>
      </c>
      <c r="B16" s="23">
        <v>45916</v>
      </c>
      <c r="C16" s="4"/>
      <c r="D16" s="4">
        <v>4000</v>
      </c>
      <c r="E16" s="5" t="s">
        <v>37</v>
      </c>
      <c r="F16" s="5" t="s">
        <v>38</v>
      </c>
      <c r="G16" s="5">
        <v>1</v>
      </c>
      <c r="H16" s="6" t="s">
        <v>25</v>
      </c>
      <c r="I16" s="7">
        <v>530182</v>
      </c>
      <c r="J16" s="5" t="s">
        <v>21</v>
      </c>
      <c r="K16" s="8">
        <v>46327</v>
      </c>
      <c r="L16" s="24">
        <v>10</v>
      </c>
      <c r="M16" s="10">
        <v>46266</v>
      </c>
      <c r="N16" s="10">
        <f t="shared" si="0"/>
        <v>46448</v>
      </c>
      <c r="O16" s="5" t="s">
        <v>45</v>
      </c>
      <c r="P16" s="11" t="s">
        <v>46</v>
      </c>
      <c r="Q16" s="6"/>
    </row>
    <row r="17" spans="1:17" ht="15.6" x14ac:dyDescent="0.3">
      <c r="A17" s="25" t="s">
        <v>48</v>
      </c>
      <c r="B17" s="26">
        <v>45930</v>
      </c>
      <c r="C17" s="14">
        <v>248.64</v>
      </c>
      <c r="D17" s="14">
        <v>0</v>
      </c>
      <c r="E17" s="15" t="s">
        <v>18</v>
      </c>
      <c r="F17" s="15" t="s">
        <v>19</v>
      </c>
      <c r="G17" s="15">
        <v>1</v>
      </c>
      <c r="H17" s="15" t="s">
        <v>20</v>
      </c>
      <c r="I17" s="30">
        <v>1.42</v>
      </c>
      <c r="J17" s="15" t="s">
        <v>21</v>
      </c>
      <c r="K17" s="18">
        <v>46296</v>
      </c>
      <c r="L17" s="19">
        <v>20</v>
      </c>
      <c r="M17" s="20">
        <v>45870</v>
      </c>
      <c r="N17" s="20">
        <f t="shared" si="0"/>
        <v>46052</v>
      </c>
      <c r="O17" s="15"/>
      <c r="P17" s="21" t="s">
        <v>49</v>
      </c>
      <c r="Q17" s="15"/>
    </row>
    <row r="18" spans="1:17" ht="15.6" x14ac:dyDescent="0.3">
      <c r="A18" s="22" t="s">
        <v>50</v>
      </c>
      <c r="B18" s="23">
        <v>45961</v>
      </c>
      <c r="C18" s="4">
        <v>75</v>
      </c>
      <c r="D18" s="4">
        <v>345</v>
      </c>
      <c r="E18" s="5" t="s">
        <v>51</v>
      </c>
      <c r="F18" s="5" t="s">
        <v>19</v>
      </c>
      <c r="G18" s="5">
        <v>3</v>
      </c>
      <c r="H18" s="5" t="s">
        <v>25</v>
      </c>
      <c r="I18" s="31">
        <v>37909</v>
      </c>
      <c r="J18" s="5" t="s">
        <v>21</v>
      </c>
      <c r="K18" s="8">
        <v>46327</v>
      </c>
      <c r="L18" s="9">
        <v>15</v>
      </c>
      <c r="M18" s="10">
        <v>45870</v>
      </c>
      <c r="N18" s="10">
        <f t="shared" si="0"/>
        <v>46052</v>
      </c>
      <c r="O18" s="5" t="s">
        <v>52</v>
      </c>
      <c r="P18" s="11" t="s">
        <v>53</v>
      </c>
      <c r="Q18" s="5"/>
    </row>
    <row r="19" spans="1:17" ht="15.6" x14ac:dyDescent="0.3">
      <c r="A19" s="25" t="s">
        <v>54</v>
      </c>
      <c r="B19" s="26">
        <v>46081</v>
      </c>
      <c r="C19" s="14">
        <v>55</v>
      </c>
      <c r="D19" s="14">
        <v>123</v>
      </c>
      <c r="E19" s="15" t="s">
        <v>55</v>
      </c>
      <c r="F19" s="15" t="s">
        <v>56</v>
      </c>
      <c r="G19" s="15">
        <v>1</v>
      </c>
      <c r="H19" s="15" t="s">
        <v>25</v>
      </c>
      <c r="I19" s="32">
        <v>34271</v>
      </c>
      <c r="J19" s="15" t="s">
        <v>21</v>
      </c>
      <c r="K19" s="18">
        <v>46447</v>
      </c>
      <c r="L19" s="19">
        <v>10</v>
      </c>
      <c r="M19" s="20">
        <v>46204</v>
      </c>
      <c r="N19" s="20">
        <f t="shared" si="0"/>
        <v>46386</v>
      </c>
      <c r="O19" s="15" t="s">
        <v>57</v>
      </c>
      <c r="P19" s="33" t="s">
        <v>58</v>
      </c>
      <c r="Q19" s="15"/>
    </row>
    <row r="20" spans="1:17" ht="15.6" x14ac:dyDescent="0.3">
      <c r="A20" s="22" t="s">
        <v>59</v>
      </c>
      <c r="B20" s="23">
        <v>46081</v>
      </c>
      <c r="C20" s="34">
        <v>350</v>
      </c>
      <c r="D20" s="34">
        <v>737</v>
      </c>
      <c r="E20" s="5" t="s">
        <v>55</v>
      </c>
      <c r="F20" s="5" t="s">
        <v>56</v>
      </c>
      <c r="G20" s="5">
        <v>3</v>
      </c>
      <c r="H20" s="5" t="s">
        <v>25</v>
      </c>
      <c r="I20" s="35">
        <f>65904*3</f>
        <v>197712</v>
      </c>
      <c r="J20" s="5" t="s">
        <v>21</v>
      </c>
      <c r="K20" s="8">
        <v>46447</v>
      </c>
      <c r="L20" s="9">
        <v>10</v>
      </c>
      <c r="M20" s="10">
        <v>46204</v>
      </c>
      <c r="N20" s="10">
        <f t="shared" si="0"/>
        <v>46386</v>
      </c>
      <c r="O20" s="5" t="s">
        <v>57</v>
      </c>
      <c r="P20" s="36" t="s">
        <v>58</v>
      </c>
      <c r="Q20" s="5"/>
    </row>
    <row r="21" spans="1:17" ht="15.6" x14ac:dyDescent="0.3">
      <c r="A21" s="25" t="s">
        <v>60</v>
      </c>
      <c r="B21" s="26">
        <v>46081</v>
      </c>
      <c r="C21" s="14">
        <f>200.26+ 252.96</f>
        <v>453.22</v>
      </c>
      <c r="D21" s="14">
        <f>289.44+ 361.8</f>
        <v>651.24</v>
      </c>
      <c r="E21" s="15" t="s">
        <v>61</v>
      </c>
      <c r="F21" s="15" t="s">
        <v>19</v>
      </c>
      <c r="G21" s="15">
        <v>2</v>
      </c>
      <c r="H21" s="15" t="s">
        <v>62</v>
      </c>
      <c r="I21" s="30">
        <v>2.0499999999999998</v>
      </c>
      <c r="J21" s="15" t="s">
        <v>21</v>
      </c>
      <c r="K21" s="18">
        <v>46447</v>
      </c>
      <c r="L21" s="19">
        <v>20</v>
      </c>
      <c r="M21" s="20">
        <v>46266</v>
      </c>
      <c r="N21" s="20">
        <f t="shared" si="0"/>
        <v>46448</v>
      </c>
      <c r="O21" s="15" t="s">
        <v>63</v>
      </c>
      <c r="P21" s="21" t="s">
        <v>64</v>
      </c>
      <c r="Q21" s="15"/>
    </row>
    <row r="22" spans="1:17" ht="15.6" x14ac:dyDescent="0.3">
      <c r="A22" s="22" t="s">
        <v>65</v>
      </c>
      <c r="B22" s="23">
        <v>46081</v>
      </c>
      <c r="C22" s="4">
        <v>158</v>
      </c>
      <c r="D22" s="4">
        <v>253.25</v>
      </c>
      <c r="E22" s="5" t="s">
        <v>61</v>
      </c>
      <c r="F22" s="5" t="s">
        <v>19</v>
      </c>
      <c r="G22" s="5">
        <v>1</v>
      </c>
      <c r="H22" s="5" t="s">
        <v>62</v>
      </c>
      <c r="I22" s="31">
        <v>2.4500000000000002</v>
      </c>
      <c r="J22" s="5" t="s">
        <v>21</v>
      </c>
      <c r="K22" s="8">
        <v>46447</v>
      </c>
      <c r="L22" s="9">
        <v>20</v>
      </c>
      <c r="M22" s="10">
        <v>46266</v>
      </c>
      <c r="N22" s="10">
        <f t="shared" si="0"/>
        <v>46448</v>
      </c>
      <c r="O22" s="5" t="s">
        <v>66</v>
      </c>
      <c r="P22" s="11" t="s">
        <v>67</v>
      </c>
      <c r="Q22" s="5"/>
    </row>
    <row r="23" spans="1:17" ht="15.6" x14ac:dyDescent="0.3">
      <c r="A23" s="37" t="s">
        <v>68</v>
      </c>
      <c r="B23" s="38" t="s">
        <v>69</v>
      </c>
      <c r="C23" s="39"/>
      <c r="D23" s="39"/>
      <c r="E23" s="37"/>
      <c r="F23" s="37" t="s">
        <v>38</v>
      </c>
      <c r="G23" s="15">
        <v>1</v>
      </c>
      <c r="H23" s="16" t="s">
        <v>25</v>
      </c>
      <c r="I23" s="30"/>
      <c r="J23" s="15" t="s">
        <v>21</v>
      </c>
      <c r="K23" s="15"/>
      <c r="L23" s="15"/>
      <c r="M23" s="15"/>
      <c r="N23" s="15"/>
      <c r="O23" s="15"/>
      <c r="P23" s="15"/>
      <c r="Q23" s="37" t="s">
        <v>70</v>
      </c>
    </row>
    <row r="24" spans="1:17" ht="15.6" x14ac:dyDescent="0.3">
      <c r="A24" s="40" t="s">
        <v>71</v>
      </c>
      <c r="B24" s="40"/>
      <c r="C24" s="41">
        <f>SUM(C2:C23)</f>
        <v>7904.3600000000006</v>
      </c>
      <c r="D24" s="41">
        <f>SUM(D2:D23)</f>
        <v>13707.49</v>
      </c>
      <c r="E24" s="5"/>
      <c r="F24" s="5"/>
      <c r="G24" s="41">
        <f>SUM(G2:G23)</f>
        <v>45</v>
      </c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hyperlinks>
    <hyperlink ref="P8" r:id="rId1" xr:uid="{048EE36E-C186-488C-9741-A919E34A2FBC}"/>
    <hyperlink ref="P17" r:id="rId2" xr:uid="{8D5E641E-3B36-4C74-A11C-B4523DB74835}"/>
    <hyperlink ref="P2" r:id="rId3" xr:uid="{EC2F5610-4AE1-4870-ACF4-DB06EFEF84CE}"/>
    <hyperlink ref="P6" r:id="rId4" xr:uid="{D7DF7BF5-6FC2-41FE-86B8-6F3BFAD556F5}"/>
    <hyperlink ref="P4" r:id="rId5" xr:uid="{79262705-8F74-45A5-A7B4-A342321C2C0A}"/>
    <hyperlink ref="P10" r:id="rId6" xr:uid="{7098AF8D-A811-4C72-BEF3-080004F849F7}"/>
    <hyperlink ref="P15" r:id="rId7" display="la@borbetsa.net" xr:uid="{8BCBB44C-8976-453B-B68A-3C2FF63E64C5}"/>
    <hyperlink ref="P3" r:id="rId8" xr:uid="{30A71DE6-8C91-4167-92F4-9E651DB49336}"/>
    <hyperlink ref="P5" r:id="rId9" xr:uid="{09FD4E6C-E3ED-4656-B1E6-DAEB2286F49D}"/>
    <hyperlink ref="P7" r:id="rId10" xr:uid="{1071A7A7-36AE-463A-B152-F049B73AAC0E}"/>
    <hyperlink ref="P9" r:id="rId11" xr:uid="{E9B6D930-2003-4E71-A125-A54EB8EF12D5}"/>
    <hyperlink ref="P11" r:id="rId12" xr:uid="{5210EA28-33AB-4750-8085-0C87DAA8ED53}"/>
    <hyperlink ref="P16" r:id="rId13" display="la@borbetsa.net" xr:uid="{50F381B6-597B-4371-B110-1A4DE0C24046}"/>
    <hyperlink ref="P22" r:id="rId14" xr:uid="{E430EAB0-316C-4180-87DE-3A935D695EF3}"/>
    <hyperlink ref="P20" r:id="rId15" display="theunis.bothma@sleepover.travel" xr:uid="{3B4BE706-9675-4A89-BBAC-69A0A72E6678}"/>
    <hyperlink ref="P18" r:id="rId16" display="bruce@cityventurecapital.com, debbiep@citylogistics.co.za." xr:uid="{973C4390-ABB6-4205-ADD3-526B950DD6FC}"/>
    <hyperlink ref="P21" r:id="rId17" xr:uid="{9E6A879B-FE83-4FE3-94AD-E6E2C37E8335}"/>
    <hyperlink ref="Q15" r:id="rId18" xr:uid="{897565C2-17C5-499B-AF50-C968A41A98E9}"/>
  </hyperlinks>
  <pageMargins left="0.7" right="0.7" top="0.75" bottom="0.75" header="0.3" footer="0.3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Cannell</dc:creator>
  <cp:lastModifiedBy>Sheila Cannell</cp:lastModifiedBy>
  <dcterms:created xsi:type="dcterms:W3CDTF">2026-09-11T08:53:57Z</dcterms:created>
  <dcterms:modified xsi:type="dcterms:W3CDTF">2026-09-11T08:54:32Z</dcterms:modified>
</cp:coreProperties>
</file>